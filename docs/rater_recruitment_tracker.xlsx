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ker" sheetId="1" state="visible" r:id="rId3"/>
    <sheet name="Summary" sheetId="2" state="visible" r:id="rId4"/>
    <sheet name="Channel referenc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<sst xmlns="http://schemas.openxmlformats.org/spreadsheetml/2006/main" count="117" uniqueCount="89">
  <si>
    <t xml:space="preserve">Method B Rater Recruitment Tracker</t>
  </si>
  <si>
    <t xml:space="preserve">LLM Risk Register Benchmark — target: 3-5 confirmed raters, 4-6 hrs each, by end of August 2026</t>
  </si>
  <si>
    <t xml:space="preserve">How to use: fill in yellow rows with real contacts as you identify them (delete the example text first), add new rows below as needed, update Status as things move. Full outreach message + qualifying criteria: docs/rater_recruitment_outreach.md. Full channel research + timelines: docs/rater_recruitment_channels.md. Once someone is confirmed, run src/build_rater_packets.py to assign their blinded REG-### rater code (see docs/rater_protocol.md §5) — record it in the Rater Code column.</t>
  </si>
  <si>
    <t xml:space="preserve">#</t>
  </si>
  <si>
    <t xml:space="preserve">Contact Name</t>
  </si>
  <si>
    <t xml:space="preserve">Organization / Channel</t>
  </si>
  <si>
    <t xml:space="preserve">Channel Type</t>
  </si>
  <si>
    <t xml:space="preserve">Contact Method</t>
  </si>
  <si>
    <t xml:space="preserve">Date Contacted</t>
  </si>
  <si>
    <t xml:space="preserve">Status</t>
  </si>
  <si>
    <t xml:space="preserve">Rater Code</t>
  </si>
  <si>
    <t xml:space="preserve">Follow-up By</t>
  </si>
  <si>
    <t xml:space="preserve">Notes</t>
  </si>
  <si>
    <t xml:space="preserve">(add a name)</t>
  </si>
  <si>
    <t xml:space="preserve">Ex-colleague / former PMO contact</t>
  </si>
  <si>
    <t xml:space="preserve">1a Personal/alumni network</t>
  </si>
  <si>
    <t xml:space="preserve">Email</t>
  </si>
  <si>
    <t xml:space="preserve">Not started</t>
  </si>
  <si>
    <t xml:space="preserve">Best-converting channel at n=3-5 - start here</t>
  </si>
  <si>
    <t xml:space="preserve">Oxford Saïd Major Programme Management (MMPM) - faculty/alumni</t>
  </si>
  <si>
    <t xml:space="preserve">Email / LinkedIn</t>
  </si>
  <si>
    <t xml:space="preserve">Named in channels research as on-profile, senior-skewing</t>
  </si>
  <si>
    <t xml:space="preserve">UCL Bartlett (infrastructure/project mgmt) - faculty/alumni</t>
  </si>
  <si>
    <t xml:space="preserve">Cranfield - PM programme alumni</t>
  </si>
  <si>
    <t xml:space="preserve">Penn State or George Washington University PM programme</t>
  </si>
  <si>
    <t xml:space="preserve">US alternative if UK academic contacts run out</t>
  </si>
  <si>
    <t xml:space="preserve">APM London Network (regional network organiser)</t>
  </si>
  <si>
    <t xml:space="preserve">1b APM (UK)</t>
  </si>
  <si>
    <t xml:space="preserve">Email via network contact</t>
  </si>
  <si>
    <t xml:space="preserve">UK third of corpus makes APM a strong fit - no self-serve recruiting board, needs a network-organiser contact</t>
  </si>
  <si>
    <t xml:space="preserve">PMI local chapter (pick one near you)</t>
  </si>
  <si>
    <t xml:space="preserve">1c PMI (global)</t>
  </si>
  <si>
    <t xml:space="preserve">Chapter newsletter/officer</t>
  </si>
  <si>
    <t xml:space="preserve">2-4+ week lead time via chapter cadence - start early if using this</t>
  </si>
  <si>
    <t xml:space="preserve">LinkedIn: "Project Manager" / "Programme Manager" at development consultancies or UK infrastructure bodies</t>
  </si>
  <si>
    <t xml:space="preserve">1d LinkedIn targeted outreach</t>
  </si>
  <si>
    <t xml:space="preserve">LinkedIn DM</t>
  </si>
  <si>
    <t xml:space="preserve">Expect to message 20-50+ for 3-5 confirmations (5-15% reply rate)</t>
  </si>
  <si>
    <t xml:space="preserve">(N/A - platform sources candidates)</t>
  </si>
  <si>
    <t xml:space="preserve">Respondent.io</t>
  </si>
  <si>
    <t xml:space="preserve">2 Paid platform</t>
  </si>
  <si>
    <t xml:space="preserve">Platform signup</t>
  </si>
  <si>
    <t xml:space="preserve">Deadline-safe fallback if organic channels stall after ~1 week - budget ~$200-700/rater typical, more if senior/in-person screener - see channels doc §2</t>
  </si>
  <si>
    <t xml:space="preserve">User Interviews</t>
  </si>
  <si>
    <t xml:space="preserve">Comparable alternative to Respondent.io</t>
  </si>
  <si>
    <t xml:space="preserve">Recruitment Progress</t>
  </si>
  <si>
    <t xml:space="preserve">Auto-updates from the Tracker sheet as you change Status</t>
  </si>
  <si>
    <t xml:space="preserve">Confirmed raters</t>
  </si>
  <si>
    <t xml:space="preserve">Target: 3-5 (CLAUDE.md, Method B)</t>
  </si>
  <si>
    <t xml:space="preserve">Still needed (of min. 3)</t>
  </si>
  <si>
    <t xml:space="preserve">0 once you hit the floor</t>
  </si>
  <si>
    <t xml:space="preserve">Contacted so far</t>
  </si>
  <si>
    <t xml:space="preserve">Any row with a status set beyond "Not started"</t>
  </si>
  <si>
    <t xml:space="preserve">Awaiting response</t>
  </si>
  <si>
    <t xml:space="preserve">May need a follow-up nudge</t>
  </si>
  <si>
    <t xml:space="preserve">Days remaining to end-of-August-2026 deadline:</t>
  </si>
  <si>
    <t xml:space="preserve">Recalculates to today's date whenever this file is opened</t>
  </si>
  <si>
    <t xml:space="preserve">Reminder from the channel research: only a warm personal/alumni network ask (1a) or a paid platform (2) reliably deliver confirmed raters inside a ~5-6 week window - see docs/rater_recruitment_channels.md §3 for the full timeline table.</t>
  </si>
  <si>
    <t xml:space="preserve">Channel Quick Reference</t>
  </si>
  <si>
    <t xml:space="preserve">Condensed from docs/rater_recruitment_channels.md (2026-07-20, spot-checked 2026-07-21) - see that file for full detail and sources</t>
  </si>
  <si>
    <t xml:space="preserve">Channel</t>
  </si>
  <si>
    <t xml:space="preserve">Time to 3-5 confirmed</t>
  </si>
  <si>
    <t xml:space="preserve">Effort</t>
  </si>
  <si>
    <t xml:space="preserve">Profile match</t>
  </si>
  <si>
    <t xml:space="preserve">Cost</t>
  </si>
  <si>
    <t xml:space="preserve">1a. Personal / faculty-alumni network</t>
  </si>
  <si>
    <t xml:space="preserve">Days - 2 weeks (if contacts exist)</t>
  </si>
  <si>
    <t xml:space="preserve">Low-med</t>
  </si>
  <si>
    <t xml:space="preserve">Best</t>
  </si>
  <si>
    <t xml:space="preserve">Free (or small honorarium)</t>
  </si>
  <si>
    <t xml:space="preserve">2. Paid platform (Respondent / User Interviews)</t>
  </si>
  <si>
    <t xml:space="preserve">~3-10 days</t>
  </si>
  <si>
    <t xml:space="preserve">Low (they source it)</t>
  </si>
  <si>
    <t xml:space="preserve">Good; risky on Prolific specifically</t>
  </si>
  <si>
    <t xml:space="preserve">$800-2,800 typical, up to ~$6,000 if senior/in-person</t>
  </si>
  <si>
    <t xml:space="preserve">1d. LinkedIn targeted outreach</t>
  </si>
  <si>
    <t xml:space="preserve">1-3 weeks (message 20-50+)</t>
  </si>
  <si>
    <t xml:space="preserve">High (manual)</t>
  </si>
  <si>
    <t xml:space="preserve">Good if targeted</t>
  </si>
  <si>
    <t xml:space="preserve">Free</t>
  </si>
  <si>
    <t xml:space="preserve">1b/1c. APM / PMI via a network or chapter</t>
  </si>
  <si>
    <t xml:space="preserve">2-4+ weeks</t>
  </si>
  <si>
    <t xml:space="preserve">Medium</t>
  </si>
  <si>
    <t xml:space="preserve">Good</t>
  </si>
  <si>
    <t xml:space="preserve">1e. Reddit r/projectmanagement</t>
  </si>
  <si>
    <t xml:space="preserve">Days to post, yield unreliable</t>
  </si>
  <si>
    <t xml:space="preserve">Low</t>
  </si>
  <si>
    <t xml:space="preserve">Uncertain</t>
  </si>
  <si>
    <t xml:space="preserve">Only 1a (warm network) and 2 (paid platform) reliably deliver confirmed, on-profile raters inside a ~5-6 week window. Association/LinkedIn routes can work but carry real schedule risk this close to the Aug-2026 deadline. Recommended sequence: start 1a + 1d in parallel today (free); if fewer than ~3 confirmed after ~1 week, stand up a paid platform study as the deadline-safe fallback.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</si>
</sst>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5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600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20"/>
      <color rgb="FF1F4E5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2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4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48" hidden="false" customHeight="true" outlineLevel="0" collapsed="false">
      <c r="B5" s="3" t="s">
        <v>2</v>
      </c>
      <c r="C5" s="3"/>
      <c r="D5" s="3"/>
      <c r="E5" s="3"/>
      <c r="F5" s="3"/>
      <c r="G5" s="3"/>
      <c r="H5" s="3"/>
      <c r="I5" s="3"/>
      <c r="J5" s="3"/>
    </row>
    <row r="7" customFormat="false" ht="27.75" hidden="false" customHeight="true" outlineLevel="0" collapsed="false">
      <c r="A7" s="4" t="s">
        <v>3</v>
      </c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  <c r="J7" s="4" t="s">
        <v>12</v>
      </c>
    </row>
    <row r="8" customFormat="false" ht="30" hidden="false" customHeight="true" outlineLevel="0" collapsed="false">
      <c r="A8" s="5" t="n">
        <v>1</v>
      </c>
      <c r="B8" s="6" t="s">
        <v>13</v>
      </c>
      <c r="C8" s="6" t="s">
        <v>14</v>
      </c>
      <c r="D8" s="6" t="s">
        <v>15</v>
      </c>
      <c r="E8" s="6" t="s">
        <v>16</v>
      </c>
      <c r="F8" s="6"/>
      <c r="G8" s="6" t="s">
        <v>17</v>
      </c>
      <c r="H8" s="6"/>
      <c r="I8" s="6"/>
      <c r="J8" s="6" t="s">
        <v>18</v>
      </c>
    </row>
    <row r="9" customFormat="false" ht="30" hidden="false" customHeight="true" outlineLevel="0" collapsed="false">
      <c r="A9" s="5" t="n">
        <v>2</v>
      </c>
      <c r="B9" s="6" t="s">
        <v>13</v>
      </c>
      <c r="C9" s="6" t="s">
        <v>19</v>
      </c>
      <c r="D9" s="6" t="s">
        <v>15</v>
      </c>
      <c r="E9" s="6" t="s">
        <v>20</v>
      </c>
      <c r="F9" s="6"/>
      <c r="G9" s="6" t="s">
        <v>17</v>
      </c>
      <c r="H9" s="6"/>
      <c r="I9" s="6"/>
      <c r="J9" s="6" t="s">
        <v>21</v>
      </c>
    </row>
    <row r="10" customFormat="false" ht="30" hidden="false" customHeight="true" outlineLevel="0" collapsed="false">
      <c r="A10" s="5" t="n">
        <v>3</v>
      </c>
      <c r="B10" s="6" t="s">
        <v>13</v>
      </c>
      <c r="C10" s="6" t="s">
        <v>22</v>
      </c>
      <c r="D10" s="6" t="s">
        <v>15</v>
      </c>
      <c r="E10" s="6" t="s">
        <v>20</v>
      </c>
      <c r="F10" s="6"/>
      <c r="G10" s="6" t="s">
        <v>17</v>
      </c>
      <c r="H10" s="6"/>
      <c r="I10" s="6"/>
      <c r="J10" s="6"/>
    </row>
    <row r="11" customFormat="false" ht="30" hidden="false" customHeight="true" outlineLevel="0" collapsed="false">
      <c r="A11" s="5" t="n">
        <v>4</v>
      </c>
      <c r="B11" s="6" t="s">
        <v>13</v>
      </c>
      <c r="C11" s="6" t="s">
        <v>23</v>
      </c>
      <c r="D11" s="6" t="s">
        <v>15</v>
      </c>
      <c r="E11" s="6" t="s">
        <v>20</v>
      </c>
      <c r="F11" s="6"/>
      <c r="G11" s="6" t="s">
        <v>17</v>
      </c>
      <c r="H11" s="6"/>
      <c r="I11" s="6"/>
      <c r="J11" s="6"/>
    </row>
    <row r="12" customFormat="false" ht="30" hidden="false" customHeight="true" outlineLevel="0" collapsed="false">
      <c r="A12" s="5" t="n">
        <v>5</v>
      </c>
      <c r="B12" s="6" t="s">
        <v>13</v>
      </c>
      <c r="C12" s="6" t="s">
        <v>24</v>
      </c>
      <c r="D12" s="6" t="s">
        <v>15</v>
      </c>
      <c r="E12" s="6" t="s">
        <v>20</v>
      </c>
      <c r="F12" s="6"/>
      <c r="G12" s="6" t="s">
        <v>17</v>
      </c>
      <c r="H12" s="6"/>
      <c r="I12" s="6"/>
      <c r="J12" s="6" t="s">
        <v>25</v>
      </c>
    </row>
    <row r="13" customFormat="false" ht="30" hidden="false" customHeight="true" outlineLevel="0" collapsed="false">
      <c r="A13" s="5" t="n">
        <v>6</v>
      </c>
      <c r="B13" s="6" t="s">
        <v>13</v>
      </c>
      <c r="C13" s="6" t="s">
        <v>26</v>
      </c>
      <c r="D13" s="6" t="s">
        <v>27</v>
      </c>
      <c r="E13" s="6" t="s">
        <v>28</v>
      </c>
      <c r="F13" s="6"/>
      <c r="G13" s="6" t="s">
        <v>17</v>
      </c>
      <c r="H13" s="6"/>
      <c r="I13" s="6"/>
      <c r="J13" s="6" t="s">
        <v>29</v>
      </c>
    </row>
    <row r="14" customFormat="false" ht="30" hidden="false" customHeight="true" outlineLevel="0" collapsed="false">
      <c r="A14" s="5" t="n">
        <v>7</v>
      </c>
      <c r="B14" s="6" t="s">
        <v>13</v>
      </c>
      <c r="C14" s="6" t="s">
        <v>30</v>
      </c>
      <c r="D14" s="6" t="s">
        <v>31</v>
      </c>
      <c r="E14" s="6" t="s">
        <v>32</v>
      </c>
      <c r="F14" s="6"/>
      <c r="G14" s="6" t="s">
        <v>17</v>
      </c>
      <c r="H14" s="6"/>
      <c r="I14" s="6"/>
      <c r="J14" s="6" t="s">
        <v>33</v>
      </c>
    </row>
    <row r="15" customFormat="false" ht="30" hidden="false" customHeight="true" outlineLevel="0" collapsed="false">
      <c r="A15" s="5" t="n">
        <v>8</v>
      </c>
      <c r="B15" s="6" t="s">
        <v>13</v>
      </c>
      <c r="C15" s="6" t="s">
        <v>34</v>
      </c>
      <c r="D15" s="6" t="s">
        <v>35</v>
      </c>
      <c r="E15" s="6" t="s">
        <v>36</v>
      </c>
      <c r="F15" s="6"/>
      <c r="G15" s="6" t="s">
        <v>17</v>
      </c>
      <c r="H15" s="6"/>
      <c r="I15" s="6"/>
      <c r="J15" s="6" t="s">
        <v>37</v>
      </c>
    </row>
    <row r="16" customFormat="false" ht="30" hidden="false" customHeight="true" outlineLevel="0" collapsed="false">
      <c r="A16" s="5" t="n">
        <v>9</v>
      </c>
      <c r="B16" s="6" t="s">
        <v>38</v>
      </c>
      <c r="C16" s="6" t="s">
        <v>39</v>
      </c>
      <c r="D16" s="6" t="s">
        <v>40</v>
      </c>
      <c r="E16" s="6" t="s">
        <v>41</v>
      </c>
      <c r="F16" s="6"/>
      <c r="G16" s="6" t="s">
        <v>17</v>
      </c>
      <c r="H16" s="6"/>
      <c r="I16" s="6"/>
      <c r="J16" s="6" t="s">
        <v>42</v>
      </c>
    </row>
    <row r="17" customFormat="false" ht="30" hidden="false" customHeight="true" outlineLevel="0" collapsed="false">
      <c r="A17" s="5" t="n">
        <v>10</v>
      </c>
      <c r="B17" s="6" t="s">
        <v>38</v>
      </c>
      <c r="C17" s="6" t="s">
        <v>43</v>
      </c>
      <c r="D17" s="6" t="s">
        <v>40</v>
      </c>
      <c r="E17" s="6" t="s">
        <v>41</v>
      </c>
      <c r="F17" s="6"/>
      <c r="G17" s="6" t="s">
        <v>17</v>
      </c>
      <c r="H17" s="6"/>
      <c r="I17" s="6"/>
      <c r="J17" s="6" t="s">
        <v>44</v>
      </c>
    </row>
    <row r="18" customFormat="false" ht="15" hidden="false" customHeight="false" outlineLevel="0" collapsed="false">
      <c r="A18" s="7" t="n">
        <v>11</v>
      </c>
      <c r="B18" s="8"/>
      <c r="C18" s="8"/>
      <c r="D18" s="8"/>
      <c r="E18" s="8"/>
      <c r="F18" s="8"/>
      <c r="G18" s="8"/>
      <c r="H18" s="8"/>
      <c r="I18" s="8"/>
      <c r="J18" s="8"/>
    </row>
    <row r="19" customFormat="false" ht="15" hidden="false" customHeight="false" outlineLevel="0" collapsed="false">
      <c r="A19" s="7" t="n">
        <v>12</v>
      </c>
      <c r="B19" s="8"/>
      <c r="C19" s="8"/>
      <c r="D19" s="8"/>
      <c r="E19" s="8"/>
      <c r="F19" s="8"/>
      <c r="G19" s="8"/>
      <c r="H19" s="8"/>
      <c r="I19" s="8"/>
      <c r="J19" s="8"/>
    </row>
    <row r="20" customFormat="false" ht="15" hidden="false" customHeight="false" outlineLevel="0" collapsed="false">
      <c r="A20" s="7" t="n">
        <v>13</v>
      </c>
      <c r="B20" s="8"/>
      <c r="C20" s="8"/>
      <c r="D20" s="8"/>
      <c r="E20" s="8"/>
      <c r="F20" s="8"/>
      <c r="G20" s="8"/>
      <c r="H20" s="8"/>
      <c r="I20" s="8"/>
      <c r="J20" s="8"/>
    </row>
    <row r="21" customFormat="false" ht="15" hidden="false" customHeight="false" outlineLevel="0" collapsed="false">
      <c r="A21" s="7" t="n">
        <v>14</v>
      </c>
      <c r="B21" s="8"/>
      <c r="C21" s="8"/>
      <c r="D21" s="8"/>
      <c r="E21" s="8"/>
      <c r="F21" s="8"/>
      <c r="G21" s="8"/>
      <c r="H21" s="8"/>
      <c r="I21" s="8"/>
      <c r="J21" s="8"/>
    </row>
    <row r="22" customFormat="false" ht="15" hidden="false" customHeight="false" outlineLevel="0" collapsed="false">
      <c r="A22" s="7" t="n">
        <v>15</v>
      </c>
      <c r="B22" s="8"/>
      <c r="C22" s="8"/>
      <c r="D22" s="8"/>
      <c r="E22" s="8"/>
      <c r="F22" s="8"/>
      <c r="G22" s="8"/>
      <c r="H22" s="8"/>
      <c r="I22" s="8"/>
      <c r="J22" s="8"/>
    </row>
    <row r="23" customFormat="false" ht="15" hidden="false" customHeight="false" outlineLevel="0" collapsed="false">
      <c r="A23" s="7" t="n">
        <v>16</v>
      </c>
      <c r="B23" s="8"/>
      <c r="C23" s="8"/>
      <c r="D23" s="8"/>
      <c r="E23" s="8"/>
      <c r="F23" s="8"/>
      <c r="G23" s="8"/>
      <c r="H23" s="8"/>
      <c r="I23" s="8"/>
      <c r="J23" s="8"/>
    </row>
    <row r="24" customFormat="false" ht="15" hidden="false" customHeight="false" outlineLevel="0" collapsed="false">
      <c r="A24" s="7" t="n">
        <v>17</v>
      </c>
      <c r="B24" s="8"/>
      <c r="C24" s="8"/>
      <c r="D24" s="8"/>
      <c r="E24" s="8"/>
      <c r="F24" s="8"/>
      <c r="G24" s="8"/>
      <c r="H24" s="8"/>
      <c r="I24" s="8"/>
      <c r="J24" s="8"/>
    </row>
    <row r="25" customFormat="false" ht="15" hidden="false" customHeight="false" outlineLevel="0" collapsed="false">
      <c r="A25" s="7" t="n">
        <v>18</v>
      </c>
      <c r="B25" s="8"/>
      <c r="C25" s="8"/>
      <c r="D25" s="8"/>
      <c r="E25" s="8"/>
      <c r="F25" s="8"/>
      <c r="G25" s="8"/>
      <c r="H25" s="8"/>
      <c r="I25" s="8"/>
      <c r="J25" s="8"/>
    </row>
    <row r="26" customFormat="false" ht="15" hidden="false" customHeight="false" outlineLevel="0" collapsed="false">
      <c r="A26" s="7" t="n">
        <v>19</v>
      </c>
      <c r="B26" s="8"/>
      <c r="C26" s="8"/>
      <c r="D26" s="8"/>
      <c r="E26" s="8"/>
      <c r="F26" s="8"/>
      <c r="G26" s="8"/>
      <c r="H26" s="8"/>
      <c r="I26" s="8"/>
      <c r="J26" s="8"/>
    </row>
    <row r="27" customFormat="false" ht="15" hidden="false" customHeight="false" outlineLevel="0" collapsed="false">
      <c r="A27" s="7" t="n">
        <v>20</v>
      </c>
      <c r="B27" s="8"/>
      <c r="C27" s="8"/>
      <c r="D27" s="8"/>
      <c r="E27" s="8"/>
      <c r="F27" s="8"/>
      <c r="G27" s="8"/>
      <c r="H27" s="8"/>
      <c r="I27" s="8"/>
      <c r="J27" s="8"/>
    </row>
    <row r="28" customFormat="false" ht="15" hidden="false" customHeight="false" outlineLevel="0" collapsed="false">
      <c r="A28" s="7" t="n">
        <v>21</v>
      </c>
      <c r="B28" s="8"/>
      <c r="C28" s="8"/>
      <c r="D28" s="8"/>
      <c r="E28" s="8"/>
      <c r="F28" s="8"/>
      <c r="G28" s="8"/>
      <c r="H28" s="8"/>
      <c r="I28" s="8"/>
      <c r="J28" s="8"/>
    </row>
    <row r="29" customFormat="false" ht="15" hidden="false" customHeight="false" outlineLevel="0" collapsed="false">
      <c r="A29" s="7" t="n">
        <v>22</v>
      </c>
      <c r="B29" s="8"/>
      <c r="C29" s="8"/>
      <c r="D29" s="8"/>
      <c r="E29" s="8"/>
      <c r="F29" s="8"/>
      <c r="G29" s="8"/>
      <c r="H29" s="8"/>
      <c r="I29" s="8"/>
      <c r="J29" s="8"/>
    </row>
    <row r="30" customFormat="false" ht="15" hidden="false" customHeight="false" outlineLevel="0" collapsed="false">
      <c r="A30" s="7" t="n">
        <v>23</v>
      </c>
      <c r="B30" s="8"/>
      <c r="C30" s="8"/>
      <c r="D30" s="8"/>
      <c r="E30" s="8"/>
      <c r="F30" s="8"/>
      <c r="G30" s="8"/>
      <c r="H30" s="8"/>
      <c r="I30" s="8"/>
      <c r="J30" s="8"/>
    </row>
    <row r="31" customFormat="false" ht="15" hidden="false" customHeight="false" outlineLevel="0" collapsed="false">
      <c r="A31" s="7" t="n">
        <v>24</v>
      </c>
      <c r="B31" s="8"/>
      <c r="C31" s="8"/>
      <c r="D31" s="8"/>
      <c r="E31" s="8"/>
      <c r="F31" s="8"/>
      <c r="G31" s="8"/>
      <c r="H31" s="8"/>
      <c r="I31" s="8"/>
      <c r="J31" s="8"/>
    </row>
    <row r="32" customFormat="false" ht="15" hidden="false" customHeight="false" outlineLevel="0" collapsed="false">
      <c r="A32" s="7" t="n">
        <v>25</v>
      </c>
      <c r="B32" s="8"/>
      <c r="C32" s="8"/>
      <c r="D32" s="8"/>
      <c r="E32" s="8"/>
      <c r="F32" s="8"/>
      <c r="G32" s="8"/>
      <c r="H32" s="8"/>
      <c r="I32" s="8"/>
      <c r="J32" s="8"/>
    </row>
    <row r="33" customFormat="false" ht="15" hidden="false" customHeight="false" outlineLevel="0" collapsed="false">
      <c r="A33" s="7" t="n">
        <v>26</v>
      </c>
      <c r="B33" s="8"/>
      <c r="C33" s="8"/>
      <c r="D33" s="8"/>
      <c r="E33" s="8"/>
      <c r="F33" s="8"/>
      <c r="G33" s="8"/>
      <c r="H33" s="8"/>
      <c r="I33" s="8"/>
      <c r="J33" s="8"/>
    </row>
    <row r="34" customFormat="false" ht="15" hidden="false" customHeight="false" outlineLevel="0" collapsed="false">
      <c r="A34" s="7" t="n">
        <v>27</v>
      </c>
      <c r="B34" s="8"/>
      <c r="C34" s="8"/>
      <c r="D34" s="8"/>
      <c r="E34" s="8"/>
      <c r="F34" s="8"/>
      <c r="G34" s="8"/>
      <c r="H34" s="8"/>
      <c r="I34" s="8"/>
      <c r="J34" s="8"/>
    </row>
    <row r="35" customFormat="false" ht="15" hidden="false" customHeight="false" outlineLevel="0" collapsed="false">
      <c r="A35" s="7" t="n">
        <v>28</v>
      </c>
      <c r="B35" s="8"/>
      <c r="C35" s="8"/>
      <c r="D35" s="8"/>
      <c r="E35" s="8"/>
      <c r="F35" s="8"/>
      <c r="G35" s="8"/>
      <c r="H35" s="8"/>
      <c r="I35" s="8"/>
      <c r="J35" s="8"/>
    </row>
    <row r="36" customFormat="false" ht="15" hidden="false" customHeight="false" outlineLevel="0" collapsed="false">
      <c r="A36" s="7" t="n">
        <v>29</v>
      </c>
      <c r="B36" s="8"/>
      <c r="C36" s="8"/>
      <c r="D36" s="8"/>
      <c r="E36" s="8"/>
      <c r="F36" s="8"/>
      <c r="G36" s="8"/>
      <c r="H36" s="8"/>
      <c r="I36" s="8"/>
      <c r="J36" s="8"/>
    </row>
    <row r="37" customFormat="false" ht="15" hidden="false" customHeight="false" outlineLevel="0" collapsed="false">
      <c r="A37" s="7" t="n">
        <v>30</v>
      </c>
      <c r="B37" s="8"/>
      <c r="C37" s="8"/>
      <c r="D37" s="8"/>
      <c r="E37" s="8"/>
      <c r="F37" s="8"/>
      <c r="G37" s="8"/>
      <c r="H37" s="8"/>
      <c r="I37" s="8"/>
      <c r="J37" s="8"/>
    </row>
    <row r="38" customFormat="false" ht="15" hidden="false" customHeight="false" outlineLevel="0" collapsed="false">
      <c r="A38" s="7" t="n">
        <v>31</v>
      </c>
      <c r="B38" s="8"/>
      <c r="C38" s="8"/>
      <c r="D38" s="8"/>
      <c r="E38" s="8"/>
      <c r="F38" s="8"/>
      <c r="G38" s="8"/>
      <c r="H38" s="8"/>
      <c r="I38" s="8"/>
      <c r="J38" s="8"/>
    </row>
    <row r="39" customFormat="false" ht="15" hidden="false" customHeight="false" outlineLevel="0" collapsed="false">
      <c r="A39" s="7" t="n">
        <v>32</v>
      </c>
      <c r="B39" s="8"/>
      <c r="C39" s="8"/>
      <c r="D39" s="8"/>
      <c r="E39" s="8"/>
      <c r="F39" s="8"/>
      <c r="G39" s="8"/>
      <c r="H39" s="8"/>
      <c r="I39" s="8"/>
      <c r="J39" s="8"/>
    </row>
    <row r="40" customFormat="false" ht="15" hidden="false" customHeight="false" outlineLevel="0" collapsed="false">
      <c r="A40" s="7" t="n">
        <v>33</v>
      </c>
      <c r="B40" s="8"/>
      <c r="C40" s="8"/>
      <c r="D40" s="8"/>
      <c r="E40" s="8"/>
      <c r="F40" s="8"/>
      <c r="G40" s="8"/>
      <c r="H40" s="8"/>
      <c r="I40" s="8"/>
      <c r="J40" s="8"/>
    </row>
    <row r="41" customFormat="false" ht="15" hidden="false" customHeight="false" outlineLevel="0" collapsed="false">
      <c r="A41" s="7" t="n">
        <v>34</v>
      </c>
      <c r="B41" s="8"/>
      <c r="C41" s="8"/>
      <c r="D41" s="8"/>
      <c r="E41" s="8"/>
      <c r="F41" s="8"/>
      <c r="G41" s="8"/>
      <c r="H41" s="8"/>
      <c r="I41" s="8"/>
      <c r="J41" s="8"/>
    </row>
    <row r="42" customFormat="false" ht="15" hidden="false" customHeight="false" outlineLevel="0" collapsed="false">
      <c r="A42" s="7" t="n">
        <v>35</v>
      </c>
      <c r="B42" s="8"/>
      <c r="C42" s="8"/>
      <c r="D42" s="8"/>
      <c r="E42" s="8"/>
      <c r="F42" s="8"/>
      <c r="G42" s="8"/>
      <c r="H42" s="8"/>
      <c r="I42" s="8"/>
      <c r="J42" s="8"/>
    </row>
  </sheetData>
  <mergeCells count="1">
    <mergeCell ref="B5:J5"/>
  </mergeCells>
  <dataValidations count="2">
    <dataValidation allowBlank="true" error="Pick a status from the list." errorStyle="stop" operator="between" prompt="Select current status" showDropDown="false" showErrorMessage="false" showInputMessage="false" sqref="G8:G42" type="list">
      <formula1>"Not started,Contacted,Responded - interested,Responded - declined,No response yet,Confirmed rater,Completed 45 packets"</formula1>
      <formula2>0</formula2>
    </dataValidation>
    <dataValidation allowBlank="true" errorStyle="stop" operator="between" prompt="Select channel type (see docs/rater_recruitment_channels.md)" showDropDown="false" showErrorMessage="false" showInputMessage="false" sqref="D8:D42" type="list">
      <formula1>"1a Personal/alumni network,1b APM (UK),1c PMI (global),1d LinkedIn targeted outreach,1e Reddit,2 Paid platform"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5" min="5" style="0" width="16"/>
  </cols>
  <sheetData>
    <row r="2" customFormat="false" ht="17.35" hidden="false" customHeight="false" outlineLevel="0" collapsed="false">
      <c r="B2" s="1" t="s">
        <v>45</v>
      </c>
    </row>
    <row r="3" customFormat="false" ht="15" hidden="false" customHeight="false" outlineLevel="0" collapsed="false">
      <c r="B3" s="2" t="s">
        <v>46</v>
      </c>
    </row>
    <row r="5" customFormat="false" ht="15" hidden="false" customHeight="false" outlineLevel="0" collapsed="false">
      <c r="B5" s="9" t="s">
        <v>47</v>
      </c>
    </row>
    <row r="6" customFormat="false" ht="24.45" hidden="false" customHeight="false" outlineLevel="0" collapsed="false">
      <c r="B6" s="10" t="n">
        <f aca="false">COUNTIF(Tracker!$G$8:$G$42,"Confirmed rater")+COUNTIF(Tracker!$G$8:$G$42,"Completed 45 packets")</f>
        <v>0</v>
      </c>
    </row>
    <row r="7" customFormat="false" ht="15" hidden="false" customHeight="false" outlineLevel="0" collapsed="false">
      <c r="B7" s="11" t="s">
        <v>48</v>
      </c>
    </row>
    <row r="9" customFormat="false" ht="15" hidden="false" customHeight="false" outlineLevel="0" collapsed="false">
      <c r="B9" s="9" t="s">
        <v>49</v>
      </c>
    </row>
    <row r="10" customFormat="false" ht="24.45" hidden="false" customHeight="false" outlineLevel="0" collapsed="false">
      <c r="B10" s="10" t="n">
        <f aca="false">MAX(0,3-B6)</f>
        <v>3</v>
      </c>
    </row>
    <row r="11" customFormat="false" ht="15" hidden="false" customHeight="false" outlineLevel="0" collapsed="false">
      <c r="B11" s="11" t="s">
        <v>50</v>
      </c>
    </row>
    <row r="13" customFormat="false" ht="15" hidden="false" customHeight="false" outlineLevel="0" collapsed="false">
      <c r="B13" s="9" t="s">
        <v>51</v>
      </c>
    </row>
    <row r="14" customFormat="false" ht="24.45" hidden="false" customHeight="false" outlineLevel="0" collapsed="false">
      <c r="B14" s="10" t="n">
        <f aca="false">COUNTIF(Tracker!$G$8:$G$42,"Contacted")+COUNTIF(Tracker!$G$8:$G$42,"Responded - interested")+COUNTIF(Tracker!$G$8:$G$42,"Responded - declined")+COUNTIF(Tracker!$G$8:$G$42,"No response yet")+COUNTIF(Tracker!$G$8:$G$42,"Confirmed rater")+COUNTIF(Tracker!$G$8:$G$42,"Completed 45 packets")</f>
        <v>0</v>
      </c>
    </row>
    <row r="15" customFormat="false" ht="15" hidden="false" customHeight="false" outlineLevel="0" collapsed="false">
      <c r="B15" s="11" t="s">
        <v>52</v>
      </c>
    </row>
    <row r="17" customFormat="false" ht="15" hidden="false" customHeight="false" outlineLevel="0" collapsed="false">
      <c r="B17" s="9" t="s">
        <v>53</v>
      </c>
    </row>
    <row r="18" customFormat="false" ht="24.45" hidden="false" customHeight="false" outlineLevel="0" collapsed="false">
      <c r="B18" s="10" t="n">
        <f aca="false">COUNTIF(Tracker!$G$8:$G$42,"Contacted")+COUNTIF(Tracker!$G$8:$G$42,"No response yet")</f>
        <v>0</v>
      </c>
    </row>
    <row r="19" customFormat="false" ht="15" hidden="false" customHeight="false" outlineLevel="0" collapsed="false">
      <c r="B19" s="11" t="s">
        <v>54</v>
      </c>
    </row>
    <row r="21" customFormat="false" ht="15" hidden="false" customHeight="false" outlineLevel="0" collapsed="false">
      <c r="B21" s="9" t="s">
        <v>55</v>
      </c>
    </row>
    <row r="22" customFormat="false" ht="24.45" hidden="false" customHeight="false" outlineLevel="0" collapsed="false">
      <c r="B22" s="12" t="n">
        <f aca="true">DATE(2026,8,31)-TODAY()</f>
        <v>41</v>
      </c>
    </row>
    <row r="23" customFormat="false" ht="15" hidden="false" customHeight="false" outlineLevel="0" collapsed="false">
      <c r="B23" s="11" t="s">
        <v>56</v>
      </c>
    </row>
    <row r="26" customFormat="false" ht="43.5" hidden="false" customHeight="true" outlineLevel="0" collapsed="false">
      <c r="B26" s="3" t="s">
        <v>57</v>
      </c>
      <c r="C26" s="3"/>
      <c r="D26" s="3"/>
      <c r="E26" s="3"/>
    </row>
  </sheetData>
  <mergeCells count="1">
    <mergeCell ref="B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30"/>
  </cols>
  <sheetData>
    <row r="2" customFormat="false" ht="17.35" hidden="false" customHeight="false" outlineLevel="0" collapsed="false">
      <c r="B2" s="1" t="s">
        <v>58</v>
      </c>
    </row>
    <row r="3" customFormat="false" ht="27.75" hidden="false" customHeight="true" outlineLevel="0" collapsed="false">
      <c r="B3" s="13" t="s">
        <v>59</v>
      </c>
      <c r="C3" s="13"/>
      <c r="D3" s="13"/>
      <c r="E3" s="13"/>
      <c r="F3" s="13"/>
    </row>
    <row r="6" customFormat="false" ht="15" hidden="false" customHeight="false" outlineLevel="0" collapsed="false">
      <c r="B6" s="4" t="s">
        <v>60</v>
      </c>
      <c r="C6" s="4" t="s">
        <v>61</v>
      </c>
      <c r="D6" s="4" t="s">
        <v>62</v>
      </c>
      <c r="E6" s="4" t="s">
        <v>63</v>
      </c>
      <c r="F6" s="4" t="s">
        <v>64</v>
      </c>
    </row>
    <row r="7" customFormat="false" ht="31.5" hidden="false" customHeight="true" outlineLevel="0" collapsed="false">
      <c r="B7" s="8" t="s">
        <v>65</v>
      </c>
      <c r="C7" s="8" t="s">
        <v>66</v>
      </c>
      <c r="D7" s="8" t="s">
        <v>67</v>
      </c>
      <c r="E7" s="8" t="s">
        <v>68</v>
      </c>
      <c r="F7" s="8" t="s">
        <v>69</v>
      </c>
    </row>
    <row r="8" customFormat="false" ht="31.5" hidden="false" customHeight="true" outlineLevel="0" collapsed="false">
      <c r="B8" s="8" t="s">
        <v>70</v>
      </c>
      <c r="C8" s="8" t="s">
        <v>71</v>
      </c>
      <c r="D8" s="8" t="s">
        <v>72</v>
      </c>
      <c r="E8" s="8" t="s">
        <v>73</v>
      </c>
      <c r="F8" s="8" t="s">
        <v>74</v>
      </c>
    </row>
    <row r="9" customFormat="false" ht="31.5" hidden="false" customHeight="true" outlineLevel="0" collapsed="false">
      <c r="B9" s="8" t="s">
        <v>75</v>
      </c>
      <c r="C9" s="8" t="s">
        <v>76</v>
      </c>
      <c r="D9" s="8" t="s">
        <v>77</v>
      </c>
      <c r="E9" s="8" t="s">
        <v>78</v>
      </c>
      <c r="F9" s="8" t="s">
        <v>79</v>
      </c>
    </row>
    <row r="10" customFormat="false" ht="31.5" hidden="false" customHeight="true" outlineLevel="0" collapsed="false">
      <c r="B10" s="8" t="s">
        <v>80</v>
      </c>
      <c r="C10" s="8" t="s">
        <v>81</v>
      </c>
      <c r="D10" s="8" t="s">
        <v>82</v>
      </c>
      <c r="E10" s="8" t="s">
        <v>83</v>
      </c>
      <c r="F10" s="8" t="s">
        <v>79</v>
      </c>
    </row>
    <row r="11" customFormat="false" ht="31.5" hidden="false" customHeight="true" outlineLevel="0" collapsed="false">
      <c r="B11" s="8" t="s">
        <v>84</v>
      </c>
      <c r="C11" s="8" t="s">
        <v>85</v>
      </c>
      <c r="D11" s="8" t="s">
        <v>86</v>
      </c>
      <c r="E11" s="8" t="s">
        <v>87</v>
      </c>
      <c r="F11" s="8" t="s">
        <v>79</v>
      </c>
    </row>
    <row r="13" customFormat="false" ht="63.75" hidden="false" customHeight="true" outlineLevel="0" collapsed="false">
      <c r="B13" s="3" t="s">
        <v>88</v>
      </c>
      <c r="C13" s="3"/>
      <c r="D13" s="3"/>
      <c r="E13" s="3"/>
      <c r="F13" s="3"/>
    </row>
  </sheetData>
  <mergeCells count="2">
    <mergeCell ref="B3:F3"/>
    <mergeCell ref="B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2026-07-21T03:08:42Z</dcterms:created>
  <dc:creator>openpyxl</dc:creator>
  <dc:description/>
  <dc:language>en-US</dc:language>
  <cp:lastModifiedBy/>
  <dcterms:modified xsi:type="dcterms:W3CDTF">2026-07-21T03:08:42Z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